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143" windowWidth="28410" windowHeight="11768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47" i="1" l="1"/>
  <c r="D48" i="1"/>
  <c r="D49" i="1"/>
  <c r="D50" i="1"/>
  <c r="H50" i="1" s="1"/>
  <c r="D51" i="1"/>
  <c r="H51" i="1" s="1"/>
  <c r="D52" i="1"/>
  <c r="D53" i="1"/>
  <c r="D54" i="1"/>
  <c r="D55" i="1"/>
  <c r="D46" i="1"/>
  <c r="B47" i="1"/>
  <c r="B48" i="1"/>
  <c r="B49" i="1"/>
  <c r="B50" i="1"/>
  <c r="F50" i="1" s="1"/>
  <c r="B51" i="1"/>
  <c r="B52" i="1"/>
  <c r="B53" i="1"/>
  <c r="B54" i="1"/>
  <c r="B55" i="1"/>
  <c r="B46" i="1"/>
  <c r="D56" i="1"/>
  <c r="D57" i="1"/>
  <c r="H57" i="1" s="1"/>
  <c r="D58" i="1"/>
  <c r="B56" i="1"/>
  <c r="B57" i="1"/>
  <c r="F57" i="1" s="1"/>
  <c r="B58" i="1"/>
  <c r="B45" i="1"/>
  <c r="D45" i="1"/>
  <c r="D43" i="1"/>
  <c r="H43" i="1" s="1"/>
  <c r="D44" i="1"/>
  <c r="D42" i="1"/>
  <c r="D59" i="1"/>
  <c r="B59" i="1"/>
  <c r="B43" i="1"/>
  <c r="B44" i="1"/>
  <c r="B42" i="1"/>
  <c r="F42" i="1"/>
  <c r="H59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43" i="1"/>
  <c r="G42" i="1"/>
  <c r="H42" i="1"/>
  <c r="E42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E29" i="1"/>
  <c r="E30" i="1"/>
  <c r="E31" i="1"/>
  <c r="E32" i="1"/>
  <c r="E33" i="1"/>
  <c r="E34" i="1"/>
  <c r="E35" i="1"/>
  <c r="E36" i="1"/>
  <c r="E37" i="1"/>
  <c r="E38" i="1"/>
  <c r="E28" i="1"/>
  <c r="F27" i="1"/>
  <c r="G27" i="1"/>
  <c r="H27" i="1"/>
  <c r="E27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E14" i="1"/>
  <c r="E15" i="1"/>
  <c r="E16" i="1"/>
  <c r="E17" i="1"/>
  <c r="E18" i="1"/>
  <c r="E19" i="1"/>
  <c r="E20" i="1"/>
  <c r="E21" i="1"/>
  <c r="E22" i="1"/>
  <c r="E23" i="1"/>
  <c r="E13" i="1"/>
  <c r="F12" i="1"/>
  <c r="G12" i="1"/>
  <c r="H12" i="1"/>
  <c r="E12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E5" i="1"/>
  <c r="E6" i="1"/>
  <c r="E7" i="1"/>
  <c r="E8" i="1"/>
  <c r="E4" i="1"/>
  <c r="F3" i="1"/>
  <c r="G3" i="1"/>
  <c r="H3" i="1"/>
  <c r="E3" i="1"/>
  <c r="H53" i="1" l="1"/>
  <c r="F53" i="1"/>
  <c r="F49" i="1"/>
  <c r="H49" i="1"/>
  <c r="H55" i="1"/>
  <c r="F54" i="1"/>
  <c r="H54" i="1"/>
  <c r="F47" i="1"/>
  <c r="H47" i="1"/>
  <c r="H46" i="1"/>
  <c r="H48" i="1"/>
  <c r="H56" i="1"/>
  <c r="F58" i="1"/>
  <c r="F46" i="1"/>
  <c r="F45" i="1"/>
  <c r="H45" i="1"/>
  <c r="H58" i="1"/>
  <c r="H52" i="1"/>
  <c r="H44" i="1"/>
  <c r="F59" i="1"/>
  <c r="F52" i="1"/>
  <c r="F55" i="1"/>
  <c r="F56" i="1"/>
  <c r="F48" i="1"/>
  <c r="F44" i="1"/>
  <c r="F51" i="1"/>
  <c r="F43" i="1"/>
</calcChain>
</file>

<file path=xl/sharedStrings.xml><?xml version="1.0" encoding="utf-8"?>
<sst xmlns="http://schemas.openxmlformats.org/spreadsheetml/2006/main" count="42" uniqueCount="11">
  <si>
    <t>3d6</t>
  </si>
  <si>
    <t>old minimums</t>
  </si>
  <si>
    <t>new minimums</t>
  </si>
  <si>
    <t>old maximums</t>
  </si>
  <si>
    <t>new maximums</t>
  </si>
  <si>
    <t>3d12</t>
  </si>
  <si>
    <t>4d12</t>
  </si>
  <si>
    <t>4d18</t>
  </si>
  <si>
    <t>additions</t>
  </si>
  <si>
    <t>between</t>
  </si>
  <si>
    <t>Don't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</si>
</sst>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3d6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old minimums</c:v>
          </c:tx>
          <c:val>
            <c:numRef>
              <c:f>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36</c:v>
                </c:pt>
              </c:numCache>
            </c:numRef>
          </c:val>
          <c:smooth val="0"/>
        </c:ser>
        <c:ser>
          <c:idx val="1"/>
          <c:order val="1"/>
          <c:tx>
            <c:v>old maximums</c:v>
          </c:tx>
          <c:val>
            <c:numRef>
              <c:f>Sheet1!$C$3:$C$8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26</c:v>
                </c:pt>
                <c:pt idx="3">
                  <c:v>32</c:v>
                </c:pt>
                <c:pt idx="4">
                  <c:v>36</c:v>
                </c:pt>
                <c:pt idx="5">
                  <c:v>36</c:v>
                </c:pt>
              </c:numCache>
            </c:numRef>
          </c:val>
          <c:smooth val="0"/>
        </c:ser>
        <c:ser>
          <c:idx val="2"/>
          <c:order val="2"/>
          <c:tx>
            <c:v>new minimums</c:v>
          </c:tx>
          <c:val>
            <c:numRef>
              <c:f>Sheet1!$B$3:$B$8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13</c:v>
                </c:pt>
                <c:pt idx="3">
                  <c:v>21</c:v>
                </c:pt>
                <c:pt idx="4">
                  <c:v>30</c:v>
                </c:pt>
                <c:pt idx="5">
                  <c:v>36</c:v>
                </c:pt>
              </c:numCache>
            </c:numRef>
          </c:val>
          <c:smooth val="0"/>
        </c:ser>
        <c:ser>
          <c:idx val="3"/>
          <c:order val="3"/>
          <c:tx>
            <c:v>new maximums</c:v>
          </c:tx>
          <c:val>
            <c:numRef>
              <c:f>Sheet1!$D$3:$D$8</c:f>
              <c:numCache>
                <c:formatCode>General</c:formatCode>
                <c:ptCount val="6"/>
                <c:pt idx="0">
                  <c:v>6</c:v>
                </c:pt>
                <c:pt idx="1">
                  <c:v>15</c:v>
                </c:pt>
                <c:pt idx="2">
                  <c:v>23</c:v>
                </c:pt>
                <c:pt idx="3">
                  <c:v>32</c:v>
                </c:pt>
                <c:pt idx="4">
                  <c:v>36</c:v>
                </c:pt>
                <c:pt idx="5">
                  <c:v>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39232"/>
        <c:axId val="175040768"/>
      </c:lineChart>
      <c:catAx>
        <c:axId val="17503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75040768"/>
        <c:crosses val="autoZero"/>
        <c:auto val="1"/>
        <c:lblAlgn val="ctr"/>
        <c:lblOffset val="100"/>
        <c:noMultiLvlLbl val="0"/>
      </c:catAx>
      <c:valAx>
        <c:axId val="17504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39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3d12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old minimums</c:v>
          </c:tx>
          <c:val>
            <c:numRef>
              <c:f>Sheet1!$A$12:$A$23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28</c:v>
                </c:pt>
                <c:pt idx="3">
                  <c:v>52</c:v>
                </c:pt>
                <c:pt idx="4">
                  <c:v>80</c:v>
                </c:pt>
                <c:pt idx="5">
                  <c:v>110</c:v>
                </c:pt>
                <c:pt idx="6">
                  <c:v>148</c:v>
                </c:pt>
                <c:pt idx="7">
                  <c:v>188</c:v>
                </c:pt>
                <c:pt idx="8">
                  <c:v>224</c:v>
                </c:pt>
                <c:pt idx="9">
                  <c:v>254</c:v>
                </c:pt>
                <c:pt idx="10">
                  <c:v>276</c:v>
                </c:pt>
                <c:pt idx="11">
                  <c:v>288</c:v>
                </c:pt>
              </c:numCache>
            </c:numRef>
          </c:val>
          <c:smooth val="0"/>
        </c:ser>
        <c:ser>
          <c:idx val="1"/>
          <c:order val="1"/>
          <c:tx>
            <c:v>old maximums</c:v>
          </c:tx>
          <c:val>
            <c:numRef>
              <c:f>Sheet1!$C$12:$C$23</c:f>
              <c:numCache>
                <c:formatCode>General</c:formatCode>
                <c:ptCount val="12"/>
                <c:pt idx="0">
                  <c:v>12</c:v>
                </c:pt>
                <c:pt idx="1">
                  <c:v>34</c:v>
                </c:pt>
                <c:pt idx="2">
                  <c:v>64</c:v>
                </c:pt>
                <c:pt idx="3">
                  <c:v>100</c:v>
                </c:pt>
                <c:pt idx="4">
                  <c:v>140</c:v>
                </c:pt>
                <c:pt idx="5">
                  <c:v>178</c:v>
                </c:pt>
                <c:pt idx="6">
                  <c:v>208</c:v>
                </c:pt>
                <c:pt idx="7">
                  <c:v>236</c:v>
                </c:pt>
                <c:pt idx="8">
                  <c:v>260</c:v>
                </c:pt>
                <c:pt idx="9">
                  <c:v>278</c:v>
                </c:pt>
                <c:pt idx="10">
                  <c:v>288</c:v>
                </c:pt>
                <c:pt idx="11">
                  <c:v>288</c:v>
                </c:pt>
              </c:numCache>
            </c:numRef>
          </c:val>
          <c:smooth val="0"/>
        </c:ser>
        <c:ser>
          <c:idx val="2"/>
          <c:order val="2"/>
          <c:tx>
            <c:v>new minimums</c:v>
          </c:tx>
          <c:val>
            <c:numRef>
              <c:f>Sheet1!$B$12:$B$23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28</c:v>
                </c:pt>
                <c:pt idx="3">
                  <c:v>53</c:v>
                </c:pt>
                <c:pt idx="4">
                  <c:v>88</c:v>
                </c:pt>
                <c:pt idx="5">
                  <c:v>124</c:v>
                </c:pt>
                <c:pt idx="6">
                  <c:v>159</c:v>
                </c:pt>
                <c:pt idx="7">
                  <c:v>191</c:v>
                </c:pt>
                <c:pt idx="8">
                  <c:v>225</c:v>
                </c:pt>
                <c:pt idx="9">
                  <c:v>254</c:v>
                </c:pt>
                <c:pt idx="10">
                  <c:v>276</c:v>
                </c:pt>
                <c:pt idx="11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new maximums</c:v>
          </c:tx>
          <c:val>
            <c:numRef>
              <c:f>Sheet1!$D$12:$D$23</c:f>
              <c:numCache>
                <c:formatCode>General</c:formatCode>
                <c:ptCount val="12"/>
                <c:pt idx="0">
                  <c:v>12</c:v>
                </c:pt>
                <c:pt idx="1">
                  <c:v>34</c:v>
                </c:pt>
                <c:pt idx="2">
                  <c:v>63</c:v>
                </c:pt>
                <c:pt idx="3">
                  <c:v>97</c:v>
                </c:pt>
                <c:pt idx="4">
                  <c:v>129</c:v>
                </c:pt>
                <c:pt idx="5">
                  <c:v>164</c:v>
                </c:pt>
                <c:pt idx="6">
                  <c:v>200</c:v>
                </c:pt>
                <c:pt idx="7">
                  <c:v>235</c:v>
                </c:pt>
                <c:pt idx="8">
                  <c:v>260</c:v>
                </c:pt>
                <c:pt idx="9">
                  <c:v>278</c:v>
                </c:pt>
                <c:pt idx="10">
                  <c:v>288</c:v>
                </c:pt>
                <c:pt idx="11">
                  <c:v>288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62944"/>
        <c:axId val="176564480"/>
      </c:lineChart>
      <c:catAx>
        <c:axId val="176562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6564480"/>
        <c:crosses val="autoZero"/>
        <c:auto val="1"/>
        <c:lblAlgn val="ctr"/>
        <c:lblOffset val="100"/>
        <c:noMultiLvlLbl val="0"/>
      </c:catAx>
      <c:valAx>
        <c:axId val="17656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562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4d12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old minimums</c:v>
          </c:tx>
          <c:val>
            <c:numRef>
              <c:f>Sheet1!$A$27:$A$38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33</c:v>
                </c:pt>
                <c:pt idx="4">
                  <c:v>75</c:v>
                </c:pt>
                <c:pt idx="5">
                  <c:v>135</c:v>
                </c:pt>
                <c:pt idx="6">
                  <c:v>216</c:v>
                </c:pt>
                <c:pt idx="7">
                  <c:v>353</c:v>
                </c:pt>
                <c:pt idx="8">
                  <c:v>517</c:v>
                </c:pt>
                <c:pt idx="9">
                  <c:v>670</c:v>
                </c:pt>
                <c:pt idx="10">
                  <c:v>792</c:v>
                </c:pt>
                <c:pt idx="11">
                  <c:v>864</c:v>
                </c:pt>
              </c:numCache>
            </c:numRef>
          </c:val>
          <c:smooth val="0"/>
        </c:ser>
        <c:ser>
          <c:idx val="1"/>
          <c:order val="1"/>
          <c:tx>
            <c:v>old maximums</c:v>
          </c:tx>
          <c:val>
            <c:numRef>
              <c:f>Sheet1!$C$27:$C$38</c:f>
              <c:numCache>
                <c:formatCode>General</c:formatCode>
                <c:ptCount val="12"/>
                <c:pt idx="0">
                  <c:v>12</c:v>
                </c:pt>
                <c:pt idx="1">
                  <c:v>45</c:v>
                </c:pt>
                <c:pt idx="2">
                  <c:v>105</c:v>
                </c:pt>
                <c:pt idx="3">
                  <c:v>195</c:v>
                </c:pt>
                <c:pt idx="4">
                  <c:v>315</c:v>
                </c:pt>
                <c:pt idx="5">
                  <c:v>440</c:v>
                </c:pt>
                <c:pt idx="6">
                  <c:v>548</c:v>
                </c:pt>
                <c:pt idx="7">
                  <c:v>647</c:v>
                </c:pt>
                <c:pt idx="8">
                  <c:v>737</c:v>
                </c:pt>
                <c:pt idx="9">
                  <c:v>815</c:v>
                </c:pt>
                <c:pt idx="10">
                  <c:v>864</c:v>
                </c:pt>
                <c:pt idx="11">
                  <c:v>864</c:v>
                </c:pt>
              </c:numCache>
            </c:numRef>
          </c:val>
          <c:smooth val="0"/>
        </c:ser>
        <c:ser>
          <c:idx val="2"/>
          <c:order val="2"/>
          <c:tx>
            <c:v>new minimums</c:v>
          </c:tx>
          <c:val>
            <c:numRef>
              <c:f>Sheet1!$B$27:$B$38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84</c:v>
                </c:pt>
                <c:pt idx="4">
                  <c:v>140</c:v>
                </c:pt>
                <c:pt idx="5">
                  <c:v>226</c:v>
                </c:pt>
                <c:pt idx="6">
                  <c:v>356</c:v>
                </c:pt>
                <c:pt idx="7">
                  <c:v>498</c:v>
                </c:pt>
                <c:pt idx="8">
                  <c:v>594</c:v>
                </c:pt>
                <c:pt idx="9">
                  <c:v>742</c:v>
                </c:pt>
                <c:pt idx="10">
                  <c:v>792</c:v>
                </c:pt>
                <c:pt idx="11">
                  <c:v>864</c:v>
                </c:pt>
              </c:numCache>
            </c:numRef>
          </c:val>
          <c:smooth val="0"/>
        </c:ser>
        <c:ser>
          <c:idx val="3"/>
          <c:order val="3"/>
          <c:tx>
            <c:v>new maximums</c:v>
          </c:tx>
          <c:val>
            <c:numRef>
              <c:f>Sheet1!$D$27:$D$38</c:f>
              <c:numCache>
                <c:formatCode>General</c:formatCode>
                <c:ptCount val="12"/>
                <c:pt idx="0">
                  <c:v>12</c:v>
                </c:pt>
                <c:pt idx="1">
                  <c:v>22</c:v>
                </c:pt>
                <c:pt idx="2">
                  <c:v>70</c:v>
                </c:pt>
                <c:pt idx="3">
                  <c:v>110</c:v>
                </c:pt>
                <c:pt idx="4">
                  <c:v>206</c:v>
                </c:pt>
                <c:pt idx="5">
                  <c:v>314</c:v>
                </c:pt>
                <c:pt idx="6">
                  <c:v>424</c:v>
                </c:pt>
                <c:pt idx="7">
                  <c:v>524</c:v>
                </c:pt>
                <c:pt idx="8">
                  <c:v>684</c:v>
                </c:pt>
                <c:pt idx="9">
                  <c:v>764</c:v>
                </c:pt>
                <c:pt idx="10">
                  <c:v>864</c:v>
                </c:pt>
                <c:pt idx="11">
                  <c:v>864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19232"/>
        <c:axId val="191920768"/>
      </c:lineChart>
      <c:catAx>
        <c:axId val="19191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91920768"/>
        <c:crosses val="autoZero"/>
        <c:auto val="1"/>
        <c:lblAlgn val="ctr"/>
        <c:lblOffset val="100"/>
        <c:noMultiLvlLbl val="0"/>
      </c:catAx>
      <c:valAx>
        <c:axId val="19192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919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4d18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old minimums</c:v>
          </c:tx>
          <c:val>
            <c:numRef>
              <c:f>Sheet1!$A$42:$A$59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57</c:v>
                </c:pt>
                <c:pt idx="4">
                  <c:v>135</c:v>
                </c:pt>
                <c:pt idx="5">
                  <c:v>255</c:v>
                </c:pt>
                <c:pt idx="6">
                  <c:v>420</c:v>
                </c:pt>
                <c:pt idx="7">
                  <c:v>630</c:v>
                </c:pt>
                <c:pt idx="8">
                  <c:v>882</c:v>
                </c:pt>
                <c:pt idx="9">
                  <c:v>1185</c:v>
                </c:pt>
                <c:pt idx="10">
                  <c:v>1574</c:v>
                </c:pt>
                <c:pt idx="11">
                  <c:v>2057</c:v>
                </c:pt>
                <c:pt idx="12">
                  <c:v>2579</c:v>
                </c:pt>
                <c:pt idx="13">
                  <c:v>3079</c:v>
                </c:pt>
                <c:pt idx="14">
                  <c:v>3535</c:v>
                </c:pt>
                <c:pt idx="15">
                  <c:v>3922</c:v>
                </c:pt>
                <c:pt idx="16">
                  <c:v>4212</c:v>
                </c:pt>
                <c:pt idx="17">
                  <c:v>4374</c:v>
                </c:pt>
              </c:numCache>
            </c:numRef>
          </c:val>
          <c:smooth val="0"/>
        </c:ser>
        <c:ser>
          <c:idx val="1"/>
          <c:order val="1"/>
          <c:tx>
            <c:v>old maximums</c:v>
          </c:tx>
          <c:val>
            <c:numRef>
              <c:f>Sheet1!$C$42:$C$59</c:f>
              <c:numCache>
                <c:formatCode>General</c:formatCode>
                <c:ptCount val="18"/>
                <c:pt idx="0">
                  <c:v>18</c:v>
                </c:pt>
                <c:pt idx="1">
                  <c:v>69</c:v>
                </c:pt>
                <c:pt idx="2">
                  <c:v>165</c:v>
                </c:pt>
                <c:pt idx="3">
                  <c:v>315</c:v>
                </c:pt>
                <c:pt idx="4">
                  <c:v>525</c:v>
                </c:pt>
                <c:pt idx="5">
                  <c:v>798</c:v>
                </c:pt>
                <c:pt idx="6">
                  <c:v>1134</c:v>
                </c:pt>
                <c:pt idx="7">
                  <c:v>1530</c:v>
                </c:pt>
                <c:pt idx="8">
                  <c:v>1943</c:v>
                </c:pt>
                <c:pt idx="9">
                  <c:v>2320</c:v>
                </c:pt>
                <c:pt idx="10">
                  <c:v>2705</c:v>
                </c:pt>
                <c:pt idx="11">
                  <c:v>3064</c:v>
                </c:pt>
                <c:pt idx="12">
                  <c:v>3409</c:v>
                </c:pt>
                <c:pt idx="13">
                  <c:v>3737</c:v>
                </c:pt>
                <c:pt idx="14">
                  <c:v>4025</c:v>
                </c:pt>
                <c:pt idx="15">
                  <c:v>4247</c:v>
                </c:pt>
                <c:pt idx="16">
                  <c:v>4374</c:v>
                </c:pt>
                <c:pt idx="17">
                  <c:v>4374</c:v>
                </c:pt>
              </c:numCache>
            </c:numRef>
          </c:val>
          <c:smooth val="0"/>
        </c:ser>
        <c:ser>
          <c:idx val="2"/>
          <c:order val="2"/>
          <c:tx>
            <c:v>new minimums</c:v>
          </c:tx>
          <c:val>
            <c:numRef>
              <c:f>Sheet1!$B$42:$B$59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57</c:v>
                </c:pt>
                <c:pt idx="4">
                  <c:v>252</c:v>
                </c:pt>
                <c:pt idx="5">
                  <c:v>417</c:v>
                </c:pt>
                <c:pt idx="6">
                  <c:v>634</c:v>
                </c:pt>
                <c:pt idx="7">
                  <c:v>900</c:v>
                </c:pt>
                <c:pt idx="8">
                  <c:v>1200</c:v>
                </c:pt>
                <c:pt idx="9">
                  <c:v>1525</c:v>
                </c:pt>
                <c:pt idx="10">
                  <c:v>1913</c:v>
                </c:pt>
                <c:pt idx="11">
                  <c:v>2359</c:v>
                </c:pt>
                <c:pt idx="12">
                  <c:v>2828</c:v>
                </c:pt>
                <c:pt idx="13">
                  <c:v>3276</c:v>
                </c:pt>
                <c:pt idx="14">
                  <c:v>3535</c:v>
                </c:pt>
                <c:pt idx="15">
                  <c:v>3922</c:v>
                </c:pt>
                <c:pt idx="16">
                  <c:v>4212</c:v>
                </c:pt>
                <c:pt idx="17">
                  <c:v>4374</c:v>
                </c:pt>
              </c:numCache>
            </c:numRef>
          </c:val>
          <c:smooth val="0"/>
        </c:ser>
        <c:ser>
          <c:idx val="3"/>
          <c:order val="3"/>
          <c:tx>
            <c:v>new maximums</c:v>
          </c:tx>
          <c:val>
            <c:numRef>
              <c:f>Sheet1!$D$42:$D$59</c:f>
              <c:numCache>
                <c:formatCode>General</c:formatCode>
                <c:ptCount val="18"/>
                <c:pt idx="0">
                  <c:v>18</c:v>
                </c:pt>
                <c:pt idx="1">
                  <c:v>69</c:v>
                </c:pt>
                <c:pt idx="2">
                  <c:v>165</c:v>
                </c:pt>
                <c:pt idx="3">
                  <c:v>315</c:v>
                </c:pt>
                <c:pt idx="4">
                  <c:v>408</c:v>
                </c:pt>
                <c:pt idx="5">
                  <c:v>636</c:v>
                </c:pt>
                <c:pt idx="6">
                  <c:v>920</c:v>
                </c:pt>
                <c:pt idx="7">
                  <c:v>1260</c:v>
                </c:pt>
                <c:pt idx="8">
                  <c:v>1625</c:v>
                </c:pt>
                <c:pt idx="9">
                  <c:v>1980</c:v>
                </c:pt>
                <c:pt idx="10">
                  <c:v>2366</c:v>
                </c:pt>
                <c:pt idx="11">
                  <c:v>2762</c:v>
                </c:pt>
                <c:pt idx="12">
                  <c:v>3160</c:v>
                </c:pt>
                <c:pt idx="13">
                  <c:v>3540</c:v>
                </c:pt>
                <c:pt idx="14">
                  <c:v>4025</c:v>
                </c:pt>
                <c:pt idx="15">
                  <c:v>4247</c:v>
                </c:pt>
                <c:pt idx="16">
                  <c:v>4374</c:v>
                </c:pt>
                <c:pt idx="17">
                  <c:v>4374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96064"/>
        <c:axId val="177689344"/>
      </c:lineChart>
      <c:catAx>
        <c:axId val="21269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7689344"/>
        <c:crosses val="autoZero"/>
        <c:auto val="1"/>
        <c:lblAlgn val="ctr"/>
        <c:lblOffset val="100"/>
        <c:noMultiLvlLbl val="0"/>
      </c:catAx>
      <c:valAx>
        <c:axId val="17768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9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161924</xdr:rowOff>
    </xdr:from>
    <xdr:to>
      <xdr:col>16</xdr:col>
      <xdr:colOff>114300</xdr:colOff>
      <xdr:row>16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</xdr:colOff>
      <xdr:row>16</xdr:row>
      <xdr:rowOff>157163</xdr:rowOff>
    </xdr:from>
    <xdr:to>
      <xdr:col>16</xdr:col>
      <xdr:colOff>90487</xdr:colOff>
      <xdr:row>32</xdr:row>
      <xdr:rowOff>4763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</xdr:colOff>
      <xdr:row>33</xdr:row>
      <xdr:rowOff>14287</xdr:rowOff>
    </xdr:from>
    <xdr:to>
      <xdr:col>16</xdr:col>
      <xdr:colOff>90487</xdr:colOff>
      <xdr:row>48</xdr:row>
      <xdr:rowOff>42862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38100</xdr:colOff>
      <xdr:row>64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28" workbookViewId="0">
      <selection activeCell="D65" sqref="D65"/>
    </sheetView>
  </sheetViews>
  <sheetFormatPr defaultRowHeight="14.25" x14ac:dyDescent="0.45"/>
  <cols>
    <col min="1" max="1" width="11.9296875" bestFit="1" customWidth="1"/>
    <col min="2" max="2" width="12.86328125" bestFit="1" customWidth="1"/>
    <col min="3" max="3" width="12.265625" bestFit="1" customWidth="1"/>
    <col min="4" max="4" width="13.19921875" bestFit="1" customWidth="1"/>
    <col min="5" max="5" width="11.9296875" bestFit="1" customWidth="1"/>
    <col min="6" max="6" width="12.86328125" bestFit="1" customWidth="1"/>
    <col min="7" max="7" width="12.265625" bestFit="1" customWidth="1"/>
    <col min="8" max="8" width="13.19921875" bestFit="1" customWidth="1"/>
  </cols>
  <sheetData>
    <row r="1" spans="1:8" x14ac:dyDescent="0.45">
      <c r="A1" t="s">
        <v>0</v>
      </c>
      <c r="E1" s="1" t="s">
        <v>8</v>
      </c>
      <c r="F1" s="1"/>
      <c r="G1" s="1"/>
      <c r="H1" s="1"/>
    </row>
    <row r="2" spans="1:8" x14ac:dyDescent="0.4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2</v>
      </c>
      <c r="G2" t="s">
        <v>3</v>
      </c>
      <c r="H2" t="s">
        <v>4</v>
      </c>
    </row>
    <row r="3" spans="1:8" x14ac:dyDescent="0.45">
      <c r="A3">
        <v>0</v>
      </c>
      <c r="B3">
        <v>0</v>
      </c>
      <c r="C3">
        <v>6</v>
      </c>
      <c r="D3">
        <v>6</v>
      </c>
      <c r="E3">
        <f>A3</f>
        <v>0</v>
      </c>
      <c r="F3">
        <f t="shared" ref="F3:H3" si="0">B3</f>
        <v>0</v>
      </c>
      <c r="G3">
        <f t="shared" si="0"/>
        <v>6</v>
      </c>
      <c r="H3">
        <f t="shared" si="0"/>
        <v>6</v>
      </c>
    </row>
    <row r="4" spans="1:8" x14ac:dyDescent="0.45">
      <c r="A4">
        <v>4</v>
      </c>
      <c r="B4">
        <v>4</v>
      </c>
      <c r="C4">
        <v>16</v>
      </c>
      <c r="D4">
        <v>15</v>
      </c>
      <c r="E4">
        <f>A4-A3</f>
        <v>4</v>
      </c>
      <c r="F4">
        <f t="shared" ref="F4:H8" si="1">B4-B3</f>
        <v>4</v>
      </c>
      <c r="G4">
        <f t="shared" si="1"/>
        <v>10</v>
      </c>
      <c r="H4">
        <f t="shared" si="1"/>
        <v>9</v>
      </c>
    </row>
    <row r="5" spans="1:8" x14ac:dyDescent="0.45">
      <c r="A5">
        <v>10</v>
      </c>
      <c r="B5">
        <v>13</v>
      </c>
      <c r="C5">
        <v>26</v>
      </c>
      <c r="D5">
        <v>23</v>
      </c>
      <c r="E5">
        <f t="shared" ref="E5:E8" si="2">A5-A4</f>
        <v>6</v>
      </c>
      <c r="F5">
        <f t="shared" si="1"/>
        <v>9</v>
      </c>
      <c r="G5">
        <f t="shared" si="1"/>
        <v>10</v>
      </c>
      <c r="H5">
        <f t="shared" si="1"/>
        <v>8</v>
      </c>
    </row>
    <row r="6" spans="1:8" x14ac:dyDescent="0.45">
      <c r="A6">
        <v>20</v>
      </c>
      <c r="B6">
        <v>21</v>
      </c>
      <c r="C6">
        <v>32</v>
      </c>
      <c r="D6">
        <v>32</v>
      </c>
      <c r="E6">
        <f t="shared" si="2"/>
        <v>10</v>
      </c>
      <c r="F6">
        <f t="shared" si="1"/>
        <v>8</v>
      </c>
      <c r="G6">
        <f t="shared" si="1"/>
        <v>6</v>
      </c>
      <c r="H6">
        <f t="shared" si="1"/>
        <v>9</v>
      </c>
    </row>
    <row r="7" spans="1:8" x14ac:dyDescent="0.45">
      <c r="A7">
        <v>30</v>
      </c>
      <c r="B7">
        <v>30</v>
      </c>
      <c r="C7">
        <v>36</v>
      </c>
      <c r="D7">
        <v>36</v>
      </c>
      <c r="E7">
        <f t="shared" si="2"/>
        <v>10</v>
      </c>
      <c r="F7">
        <f t="shared" si="1"/>
        <v>9</v>
      </c>
      <c r="G7">
        <f t="shared" si="1"/>
        <v>4</v>
      </c>
      <c r="H7">
        <f t="shared" si="1"/>
        <v>4</v>
      </c>
    </row>
    <row r="8" spans="1:8" x14ac:dyDescent="0.45">
      <c r="A8">
        <v>36</v>
      </c>
      <c r="B8">
        <v>36</v>
      </c>
      <c r="C8">
        <v>36</v>
      </c>
      <c r="D8">
        <v>36</v>
      </c>
      <c r="E8">
        <f t="shared" si="2"/>
        <v>6</v>
      </c>
      <c r="F8">
        <f t="shared" si="1"/>
        <v>6</v>
      </c>
      <c r="G8">
        <f t="shared" si="1"/>
        <v>0</v>
      </c>
      <c r="H8">
        <f t="shared" si="1"/>
        <v>0</v>
      </c>
    </row>
    <row r="10" spans="1:8" x14ac:dyDescent="0.45">
      <c r="A10" t="s">
        <v>5</v>
      </c>
      <c r="E10" s="1" t="s">
        <v>8</v>
      </c>
      <c r="F10" s="1"/>
      <c r="G10" s="1"/>
      <c r="H10" s="1"/>
    </row>
    <row r="11" spans="1:8" x14ac:dyDescent="0.45">
      <c r="A11" t="s">
        <v>1</v>
      </c>
      <c r="B11" t="s">
        <v>2</v>
      </c>
      <c r="C11" t="s">
        <v>3</v>
      </c>
      <c r="D11" t="s">
        <v>4</v>
      </c>
      <c r="E11" t="s">
        <v>1</v>
      </c>
      <c r="F11" t="s">
        <v>2</v>
      </c>
      <c r="G11" t="s">
        <v>3</v>
      </c>
      <c r="H11" t="s">
        <v>4</v>
      </c>
    </row>
    <row r="12" spans="1:8" x14ac:dyDescent="0.45">
      <c r="A12">
        <v>0</v>
      </c>
      <c r="B12">
        <v>0</v>
      </c>
      <c r="C12">
        <v>12</v>
      </c>
      <c r="D12">
        <v>12</v>
      </c>
      <c r="E12">
        <f>A12</f>
        <v>0</v>
      </c>
      <c r="F12">
        <f t="shared" ref="F12:H12" si="3">B12</f>
        <v>0</v>
      </c>
      <c r="G12">
        <f t="shared" si="3"/>
        <v>12</v>
      </c>
      <c r="H12">
        <f t="shared" si="3"/>
        <v>12</v>
      </c>
    </row>
    <row r="13" spans="1:8" x14ac:dyDescent="0.45">
      <c r="A13">
        <v>10</v>
      </c>
      <c r="B13">
        <v>10</v>
      </c>
      <c r="C13">
        <v>34</v>
      </c>
      <c r="D13">
        <v>34</v>
      </c>
      <c r="E13">
        <f>A13-A12</f>
        <v>10</v>
      </c>
      <c r="F13">
        <f t="shared" ref="F13:H23" si="4">B13-B12</f>
        <v>10</v>
      </c>
      <c r="G13">
        <f t="shared" si="4"/>
        <v>22</v>
      </c>
      <c r="H13">
        <f t="shared" si="4"/>
        <v>22</v>
      </c>
    </row>
    <row r="14" spans="1:8" x14ac:dyDescent="0.45">
      <c r="A14">
        <v>28</v>
      </c>
      <c r="B14">
        <v>28</v>
      </c>
      <c r="C14">
        <v>64</v>
      </c>
      <c r="D14">
        <v>63</v>
      </c>
      <c r="E14">
        <f t="shared" ref="E14:E23" si="5">A14-A13</f>
        <v>18</v>
      </c>
      <c r="F14">
        <f t="shared" si="4"/>
        <v>18</v>
      </c>
      <c r="G14">
        <f t="shared" si="4"/>
        <v>30</v>
      </c>
      <c r="H14">
        <f t="shared" si="4"/>
        <v>29</v>
      </c>
    </row>
    <row r="15" spans="1:8" x14ac:dyDescent="0.45">
      <c r="A15">
        <v>52</v>
      </c>
      <c r="B15">
        <v>53</v>
      </c>
      <c r="C15">
        <v>100</v>
      </c>
      <c r="D15">
        <v>97</v>
      </c>
      <c r="E15">
        <f t="shared" si="5"/>
        <v>24</v>
      </c>
      <c r="F15">
        <f t="shared" si="4"/>
        <v>25</v>
      </c>
      <c r="G15">
        <f t="shared" si="4"/>
        <v>36</v>
      </c>
      <c r="H15">
        <f t="shared" si="4"/>
        <v>34</v>
      </c>
    </row>
    <row r="16" spans="1:8" x14ac:dyDescent="0.45">
      <c r="A16">
        <v>80</v>
      </c>
      <c r="B16">
        <v>88</v>
      </c>
      <c r="C16">
        <v>140</v>
      </c>
      <c r="D16">
        <v>129</v>
      </c>
      <c r="E16">
        <f t="shared" si="5"/>
        <v>28</v>
      </c>
      <c r="F16">
        <f t="shared" si="4"/>
        <v>35</v>
      </c>
      <c r="G16">
        <f t="shared" si="4"/>
        <v>40</v>
      </c>
      <c r="H16">
        <f t="shared" si="4"/>
        <v>32</v>
      </c>
    </row>
    <row r="17" spans="1:8" x14ac:dyDescent="0.45">
      <c r="A17">
        <v>110</v>
      </c>
      <c r="B17">
        <v>124</v>
      </c>
      <c r="C17">
        <v>178</v>
      </c>
      <c r="D17">
        <v>164</v>
      </c>
      <c r="E17">
        <f t="shared" si="5"/>
        <v>30</v>
      </c>
      <c r="F17">
        <f t="shared" si="4"/>
        <v>36</v>
      </c>
      <c r="G17">
        <f t="shared" si="4"/>
        <v>38</v>
      </c>
      <c r="H17">
        <f t="shared" si="4"/>
        <v>35</v>
      </c>
    </row>
    <row r="18" spans="1:8" x14ac:dyDescent="0.45">
      <c r="A18">
        <v>148</v>
      </c>
      <c r="B18">
        <v>159</v>
      </c>
      <c r="C18">
        <v>208</v>
      </c>
      <c r="D18">
        <v>200</v>
      </c>
      <c r="E18">
        <f t="shared" si="5"/>
        <v>38</v>
      </c>
      <c r="F18">
        <f t="shared" si="4"/>
        <v>35</v>
      </c>
      <c r="G18">
        <f t="shared" si="4"/>
        <v>30</v>
      </c>
      <c r="H18">
        <f t="shared" si="4"/>
        <v>36</v>
      </c>
    </row>
    <row r="19" spans="1:8" x14ac:dyDescent="0.45">
      <c r="A19">
        <v>188</v>
      </c>
      <c r="B19">
        <v>191</v>
      </c>
      <c r="C19">
        <v>236</v>
      </c>
      <c r="D19">
        <v>235</v>
      </c>
      <c r="E19">
        <f t="shared" si="5"/>
        <v>40</v>
      </c>
      <c r="F19">
        <f t="shared" si="4"/>
        <v>32</v>
      </c>
      <c r="G19">
        <f t="shared" si="4"/>
        <v>28</v>
      </c>
      <c r="H19">
        <f t="shared" si="4"/>
        <v>35</v>
      </c>
    </row>
    <row r="20" spans="1:8" x14ac:dyDescent="0.45">
      <c r="A20">
        <v>224</v>
      </c>
      <c r="B20">
        <v>225</v>
      </c>
      <c r="C20">
        <v>260</v>
      </c>
      <c r="D20">
        <v>260</v>
      </c>
      <c r="E20">
        <f t="shared" si="5"/>
        <v>36</v>
      </c>
      <c r="F20">
        <f t="shared" si="4"/>
        <v>34</v>
      </c>
      <c r="G20">
        <f t="shared" si="4"/>
        <v>24</v>
      </c>
      <c r="H20">
        <f t="shared" si="4"/>
        <v>25</v>
      </c>
    </row>
    <row r="21" spans="1:8" x14ac:dyDescent="0.45">
      <c r="A21">
        <v>254</v>
      </c>
      <c r="B21">
        <v>254</v>
      </c>
      <c r="C21">
        <v>278</v>
      </c>
      <c r="D21">
        <v>278</v>
      </c>
      <c r="E21">
        <f t="shared" si="5"/>
        <v>30</v>
      </c>
      <c r="F21">
        <f t="shared" si="4"/>
        <v>29</v>
      </c>
      <c r="G21">
        <f t="shared" si="4"/>
        <v>18</v>
      </c>
      <c r="H21">
        <f t="shared" si="4"/>
        <v>18</v>
      </c>
    </row>
    <row r="22" spans="1:8" x14ac:dyDescent="0.45">
      <c r="A22">
        <v>276</v>
      </c>
      <c r="B22">
        <v>276</v>
      </c>
      <c r="C22">
        <v>288</v>
      </c>
      <c r="D22">
        <v>288</v>
      </c>
      <c r="E22">
        <f t="shared" si="5"/>
        <v>22</v>
      </c>
      <c r="F22">
        <f t="shared" si="4"/>
        <v>22</v>
      </c>
      <c r="G22">
        <f t="shared" si="4"/>
        <v>10</v>
      </c>
      <c r="H22">
        <f t="shared" si="4"/>
        <v>10</v>
      </c>
    </row>
    <row r="23" spans="1:8" x14ac:dyDescent="0.45">
      <c r="A23">
        <v>288</v>
      </c>
      <c r="B23">
        <v>288</v>
      </c>
      <c r="C23">
        <v>288</v>
      </c>
      <c r="D23">
        <v>288</v>
      </c>
      <c r="E23">
        <f t="shared" si="5"/>
        <v>12</v>
      </c>
      <c r="F23">
        <f t="shared" si="4"/>
        <v>12</v>
      </c>
      <c r="G23">
        <f t="shared" si="4"/>
        <v>0</v>
      </c>
      <c r="H23">
        <f t="shared" si="4"/>
        <v>0</v>
      </c>
    </row>
    <row r="25" spans="1:8" x14ac:dyDescent="0.45">
      <c r="A25" t="s">
        <v>6</v>
      </c>
      <c r="E25" s="1" t="s">
        <v>8</v>
      </c>
      <c r="F25" s="1"/>
      <c r="G25" s="1"/>
      <c r="H25" s="1"/>
    </row>
    <row r="26" spans="1:8" x14ac:dyDescent="0.45">
      <c r="A26" t="s">
        <v>1</v>
      </c>
      <c r="B26" t="s">
        <v>2</v>
      </c>
      <c r="C26" t="s">
        <v>3</v>
      </c>
      <c r="D26" t="s">
        <v>4</v>
      </c>
      <c r="E26" t="s">
        <v>1</v>
      </c>
      <c r="F26" t="s">
        <v>2</v>
      </c>
      <c r="G26" t="s">
        <v>3</v>
      </c>
      <c r="H26" t="s">
        <v>4</v>
      </c>
    </row>
    <row r="27" spans="1:8" x14ac:dyDescent="0.45">
      <c r="A27">
        <v>0</v>
      </c>
      <c r="B27">
        <v>0</v>
      </c>
      <c r="C27">
        <v>12</v>
      </c>
      <c r="D27">
        <v>12</v>
      </c>
      <c r="E27">
        <f>A27</f>
        <v>0</v>
      </c>
      <c r="F27">
        <f t="shared" ref="F27:H27" si="6">B27</f>
        <v>0</v>
      </c>
      <c r="G27">
        <f t="shared" si="6"/>
        <v>12</v>
      </c>
      <c r="H27">
        <f t="shared" si="6"/>
        <v>12</v>
      </c>
    </row>
    <row r="28" spans="1:8" x14ac:dyDescent="0.45">
      <c r="A28">
        <v>0</v>
      </c>
      <c r="B28">
        <v>0</v>
      </c>
      <c r="C28">
        <v>45</v>
      </c>
      <c r="D28">
        <v>22</v>
      </c>
      <c r="E28">
        <f>A28-A27</f>
        <v>0</v>
      </c>
      <c r="F28">
        <f t="shared" ref="F28:H38" si="7">B28-B27</f>
        <v>0</v>
      </c>
      <c r="G28">
        <f t="shared" si="7"/>
        <v>33</v>
      </c>
      <c r="H28">
        <f t="shared" si="7"/>
        <v>10</v>
      </c>
    </row>
    <row r="29" spans="1:8" x14ac:dyDescent="0.45">
      <c r="A29">
        <v>9</v>
      </c>
      <c r="B29">
        <v>18</v>
      </c>
      <c r="C29">
        <v>105</v>
      </c>
      <c r="D29">
        <v>70</v>
      </c>
      <c r="E29">
        <f t="shared" ref="E29:E38" si="8">A29-A28</f>
        <v>9</v>
      </c>
      <c r="F29">
        <f t="shared" si="7"/>
        <v>18</v>
      </c>
      <c r="G29">
        <f t="shared" si="7"/>
        <v>60</v>
      </c>
      <c r="H29">
        <f t="shared" si="7"/>
        <v>48</v>
      </c>
    </row>
    <row r="30" spans="1:8" x14ac:dyDescent="0.45">
      <c r="A30">
        <v>33</v>
      </c>
      <c r="B30">
        <v>84</v>
      </c>
      <c r="C30">
        <v>195</v>
      </c>
      <c r="D30">
        <v>110</v>
      </c>
      <c r="E30">
        <f t="shared" si="8"/>
        <v>24</v>
      </c>
      <c r="F30">
        <f t="shared" si="7"/>
        <v>66</v>
      </c>
      <c r="G30">
        <f t="shared" si="7"/>
        <v>90</v>
      </c>
      <c r="H30">
        <f t="shared" si="7"/>
        <v>40</v>
      </c>
    </row>
    <row r="31" spans="1:8" x14ac:dyDescent="0.45">
      <c r="A31">
        <v>75</v>
      </c>
      <c r="B31">
        <v>140</v>
      </c>
      <c r="C31">
        <v>315</v>
      </c>
      <c r="D31">
        <v>206</v>
      </c>
      <c r="E31">
        <f t="shared" si="8"/>
        <v>42</v>
      </c>
      <c r="F31">
        <f t="shared" si="7"/>
        <v>56</v>
      </c>
      <c r="G31">
        <f t="shared" si="7"/>
        <v>120</v>
      </c>
      <c r="H31">
        <f t="shared" si="7"/>
        <v>96</v>
      </c>
    </row>
    <row r="32" spans="1:8" x14ac:dyDescent="0.45">
      <c r="A32">
        <v>135</v>
      </c>
      <c r="B32">
        <v>226</v>
      </c>
      <c r="C32">
        <v>440</v>
      </c>
      <c r="D32">
        <v>314</v>
      </c>
      <c r="E32">
        <f t="shared" si="8"/>
        <v>60</v>
      </c>
      <c r="F32">
        <f t="shared" si="7"/>
        <v>86</v>
      </c>
      <c r="G32">
        <f t="shared" si="7"/>
        <v>125</v>
      </c>
      <c r="H32">
        <f t="shared" si="7"/>
        <v>108</v>
      </c>
    </row>
    <row r="33" spans="1:9" x14ac:dyDescent="0.45">
      <c r="A33">
        <v>216</v>
      </c>
      <c r="B33">
        <v>356</v>
      </c>
      <c r="C33">
        <v>548</v>
      </c>
      <c r="D33">
        <v>424</v>
      </c>
      <c r="E33">
        <f t="shared" si="8"/>
        <v>81</v>
      </c>
      <c r="F33">
        <f t="shared" si="7"/>
        <v>130</v>
      </c>
      <c r="G33">
        <f t="shared" si="7"/>
        <v>108</v>
      </c>
      <c r="H33">
        <f t="shared" si="7"/>
        <v>110</v>
      </c>
    </row>
    <row r="34" spans="1:9" x14ac:dyDescent="0.45">
      <c r="A34">
        <v>353</v>
      </c>
      <c r="B34">
        <v>498</v>
      </c>
      <c r="C34">
        <v>647</v>
      </c>
      <c r="D34">
        <v>524</v>
      </c>
      <c r="E34">
        <f t="shared" si="8"/>
        <v>137</v>
      </c>
      <c r="F34">
        <f t="shared" si="7"/>
        <v>142</v>
      </c>
      <c r="G34">
        <f t="shared" si="7"/>
        <v>99</v>
      </c>
      <c r="H34">
        <f t="shared" si="7"/>
        <v>100</v>
      </c>
    </row>
    <row r="35" spans="1:9" x14ac:dyDescent="0.45">
      <c r="A35">
        <v>517</v>
      </c>
      <c r="B35">
        <v>594</v>
      </c>
      <c r="C35">
        <v>737</v>
      </c>
      <c r="D35">
        <v>684</v>
      </c>
      <c r="E35">
        <f t="shared" si="8"/>
        <v>164</v>
      </c>
      <c r="F35">
        <f t="shared" si="7"/>
        <v>96</v>
      </c>
      <c r="G35">
        <f t="shared" si="7"/>
        <v>90</v>
      </c>
      <c r="H35">
        <f t="shared" si="7"/>
        <v>160</v>
      </c>
    </row>
    <row r="36" spans="1:9" x14ac:dyDescent="0.45">
      <c r="A36">
        <v>670</v>
      </c>
      <c r="B36">
        <v>742</v>
      </c>
      <c r="C36">
        <v>815</v>
      </c>
      <c r="D36">
        <v>764</v>
      </c>
      <c r="E36">
        <f t="shared" si="8"/>
        <v>153</v>
      </c>
      <c r="F36">
        <f t="shared" si="7"/>
        <v>148</v>
      </c>
      <c r="G36">
        <f t="shared" si="7"/>
        <v>78</v>
      </c>
      <c r="H36">
        <f t="shared" si="7"/>
        <v>80</v>
      </c>
    </row>
    <row r="37" spans="1:9" x14ac:dyDescent="0.45">
      <c r="A37">
        <v>792</v>
      </c>
      <c r="B37">
        <v>792</v>
      </c>
      <c r="C37">
        <v>864</v>
      </c>
      <c r="D37">
        <v>864</v>
      </c>
      <c r="E37">
        <f t="shared" si="8"/>
        <v>122</v>
      </c>
      <c r="F37">
        <f t="shared" si="7"/>
        <v>50</v>
      </c>
      <c r="G37">
        <f t="shared" si="7"/>
        <v>49</v>
      </c>
      <c r="H37">
        <f t="shared" si="7"/>
        <v>100</v>
      </c>
    </row>
    <row r="38" spans="1:9" x14ac:dyDescent="0.45">
      <c r="A38">
        <v>864</v>
      </c>
      <c r="B38">
        <v>864</v>
      </c>
      <c r="C38">
        <v>864</v>
      </c>
      <c r="D38">
        <v>864</v>
      </c>
      <c r="E38">
        <f t="shared" si="8"/>
        <v>72</v>
      </c>
      <c r="F38">
        <f t="shared" si="7"/>
        <v>72</v>
      </c>
      <c r="G38">
        <f t="shared" si="7"/>
        <v>0</v>
      </c>
      <c r="H38">
        <f t="shared" si="7"/>
        <v>0</v>
      </c>
    </row>
    <row r="40" spans="1:9" x14ac:dyDescent="0.45">
      <c r="A40" t="s">
        <v>7</v>
      </c>
      <c r="E40" s="1" t="s">
        <v>8</v>
      </c>
      <c r="F40" s="1"/>
      <c r="G40" s="1"/>
      <c r="H40" s="1"/>
    </row>
    <row r="41" spans="1:9" x14ac:dyDescent="0.45">
      <c r="A41" t="s">
        <v>1</v>
      </c>
      <c r="B41" t="s">
        <v>2</v>
      </c>
      <c r="C41" t="s">
        <v>3</v>
      </c>
      <c r="D41" t="s">
        <v>4</v>
      </c>
      <c r="E41" t="s">
        <v>1</v>
      </c>
      <c r="F41" t="s">
        <v>2</v>
      </c>
      <c r="G41" t="s">
        <v>3</v>
      </c>
      <c r="H41" t="s">
        <v>4</v>
      </c>
      <c r="I41" t="s">
        <v>9</v>
      </c>
    </row>
    <row r="42" spans="1:9" x14ac:dyDescent="0.45">
      <c r="A42">
        <v>0</v>
      </c>
      <c r="B42">
        <f>A42</f>
        <v>0</v>
      </c>
      <c r="C42">
        <v>18</v>
      </c>
      <c r="D42">
        <f>C42</f>
        <v>18</v>
      </c>
      <c r="E42">
        <f>A42</f>
        <v>0</v>
      </c>
      <c r="F42">
        <f>B42</f>
        <v>0</v>
      </c>
      <c r="G42">
        <f t="shared" ref="F42:H42" si="9">C42</f>
        <v>18</v>
      </c>
      <c r="H42">
        <f t="shared" si="9"/>
        <v>18</v>
      </c>
      <c r="I42">
        <f>((C42-A42)/2)+A42</f>
        <v>9</v>
      </c>
    </row>
    <row r="43" spans="1:9" x14ac:dyDescent="0.45">
      <c r="A43">
        <v>0</v>
      </c>
      <c r="B43">
        <f t="shared" ref="B43:B44" si="10">A43</f>
        <v>0</v>
      </c>
      <c r="C43">
        <v>69</v>
      </c>
      <c r="D43">
        <f t="shared" ref="D43:D44" si="11">C43</f>
        <v>69</v>
      </c>
      <c r="E43">
        <f>A43-A42</f>
        <v>0</v>
      </c>
      <c r="F43">
        <f>B43-B42</f>
        <v>0</v>
      </c>
      <c r="G43">
        <f t="shared" ref="F43:H58" si="12">C43-C42</f>
        <v>51</v>
      </c>
      <c r="H43">
        <f t="shared" si="12"/>
        <v>51</v>
      </c>
      <c r="I43">
        <f t="shared" ref="I43:I59" si="13">((C43-A43)/2)+A43</f>
        <v>34.5</v>
      </c>
    </row>
    <row r="44" spans="1:9" x14ac:dyDescent="0.45">
      <c r="A44">
        <v>15</v>
      </c>
      <c r="B44">
        <f t="shared" si="10"/>
        <v>15</v>
      </c>
      <c r="C44">
        <v>165</v>
      </c>
      <c r="D44">
        <f t="shared" si="11"/>
        <v>165</v>
      </c>
      <c r="E44">
        <f t="shared" ref="E44:E59" si="14">A44-A43</f>
        <v>15</v>
      </c>
      <c r="F44">
        <f>B44-B43</f>
        <v>15</v>
      </c>
      <c r="G44">
        <f t="shared" si="12"/>
        <v>96</v>
      </c>
      <c r="H44">
        <f t="shared" si="12"/>
        <v>96</v>
      </c>
      <c r="I44">
        <f t="shared" si="13"/>
        <v>90</v>
      </c>
    </row>
    <row r="45" spans="1:9" x14ac:dyDescent="0.45">
      <c r="A45">
        <v>57</v>
      </c>
      <c r="B45">
        <f>A45</f>
        <v>57</v>
      </c>
      <c r="C45">
        <v>315</v>
      </c>
      <c r="D45">
        <f>C45</f>
        <v>315</v>
      </c>
      <c r="E45">
        <f t="shared" si="14"/>
        <v>42</v>
      </c>
      <c r="F45">
        <f>B45-B44</f>
        <v>42</v>
      </c>
      <c r="G45">
        <f t="shared" si="12"/>
        <v>150</v>
      </c>
      <c r="H45">
        <f t="shared" si="12"/>
        <v>150</v>
      </c>
      <c r="I45">
        <f t="shared" si="13"/>
        <v>186</v>
      </c>
    </row>
    <row r="46" spans="1:9" x14ac:dyDescent="0.45">
      <c r="A46">
        <v>135</v>
      </c>
      <c r="B46">
        <f>ROUNDDOWN(((I46-A46) * (1 - $A$62)) + A46, 0)</f>
        <v>252</v>
      </c>
      <c r="C46">
        <v>525</v>
      </c>
      <c r="D46">
        <f>ROUNDUP(((C46-I46) * $A$62)+I46,0)</f>
        <v>408</v>
      </c>
      <c r="E46">
        <f t="shared" si="14"/>
        <v>78</v>
      </c>
      <c r="F46">
        <f>B46-B45</f>
        <v>195</v>
      </c>
      <c r="G46">
        <f t="shared" si="12"/>
        <v>210</v>
      </c>
      <c r="H46">
        <f t="shared" si="12"/>
        <v>93</v>
      </c>
      <c r="I46">
        <f t="shared" si="13"/>
        <v>330</v>
      </c>
    </row>
    <row r="47" spans="1:9" x14ac:dyDescent="0.45">
      <c r="A47">
        <v>255</v>
      </c>
      <c r="B47">
        <f t="shared" ref="B47:B55" si="15">ROUNDDOWN(((I47-A47) * (1 - $A$62)) + A47, 0)</f>
        <v>417</v>
      </c>
      <c r="C47">
        <v>798</v>
      </c>
      <c r="D47">
        <f t="shared" ref="D47:D55" si="16">ROUNDUP(((C47-I47) * $A$62)+I47,0)</f>
        <v>636</v>
      </c>
      <c r="E47">
        <f t="shared" si="14"/>
        <v>120</v>
      </c>
      <c r="F47">
        <f>B47-B46</f>
        <v>165</v>
      </c>
      <c r="G47">
        <f t="shared" si="12"/>
        <v>273</v>
      </c>
      <c r="H47">
        <f t="shared" si="12"/>
        <v>228</v>
      </c>
      <c r="I47">
        <f t="shared" si="13"/>
        <v>526.5</v>
      </c>
    </row>
    <row r="48" spans="1:9" x14ac:dyDescent="0.45">
      <c r="A48">
        <v>420</v>
      </c>
      <c r="B48">
        <f t="shared" si="15"/>
        <v>634</v>
      </c>
      <c r="C48">
        <v>1134</v>
      </c>
      <c r="D48">
        <f t="shared" si="16"/>
        <v>920</v>
      </c>
      <c r="E48">
        <f t="shared" si="14"/>
        <v>165</v>
      </c>
      <c r="F48">
        <f>B48-B47</f>
        <v>217</v>
      </c>
      <c r="G48">
        <f t="shared" si="12"/>
        <v>336</v>
      </c>
      <c r="H48">
        <f t="shared" si="12"/>
        <v>284</v>
      </c>
      <c r="I48">
        <f t="shared" si="13"/>
        <v>777</v>
      </c>
    </row>
    <row r="49" spans="1:9" x14ac:dyDescent="0.45">
      <c r="A49">
        <v>630</v>
      </c>
      <c r="B49">
        <f t="shared" si="15"/>
        <v>900</v>
      </c>
      <c r="C49">
        <v>1530</v>
      </c>
      <c r="D49">
        <f t="shared" si="16"/>
        <v>1260</v>
      </c>
      <c r="E49">
        <f t="shared" si="14"/>
        <v>210</v>
      </c>
      <c r="F49">
        <f>B49-B48</f>
        <v>266</v>
      </c>
      <c r="G49">
        <f t="shared" si="12"/>
        <v>396</v>
      </c>
      <c r="H49">
        <f t="shared" si="12"/>
        <v>340</v>
      </c>
      <c r="I49">
        <f t="shared" si="13"/>
        <v>1080</v>
      </c>
    </row>
    <row r="50" spans="1:9" x14ac:dyDescent="0.45">
      <c r="A50">
        <v>882</v>
      </c>
      <c r="B50">
        <f t="shared" si="15"/>
        <v>1200</v>
      </c>
      <c r="C50">
        <v>1943</v>
      </c>
      <c r="D50">
        <f t="shared" si="16"/>
        <v>1625</v>
      </c>
      <c r="E50">
        <f t="shared" si="14"/>
        <v>252</v>
      </c>
      <c r="F50">
        <f>B50-B49</f>
        <v>300</v>
      </c>
      <c r="G50">
        <f t="shared" si="12"/>
        <v>413</v>
      </c>
      <c r="H50">
        <f t="shared" si="12"/>
        <v>365</v>
      </c>
      <c r="I50">
        <f t="shared" si="13"/>
        <v>1412.5</v>
      </c>
    </row>
    <row r="51" spans="1:9" x14ac:dyDescent="0.45">
      <c r="A51">
        <v>1185</v>
      </c>
      <c r="B51">
        <f t="shared" si="15"/>
        <v>1525</v>
      </c>
      <c r="C51">
        <v>2320</v>
      </c>
      <c r="D51">
        <f t="shared" si="16"/>
        <v>1980</v>
      </c>
      <c r="E51">
        <f t="shared" si="14"/>
        <v>303</v>
      </c>
      <c r="F51">
        <f>B51-B50</f>
        <v>325</v>
      </c>
      <c r="G51">
        <f t="shared" si="12"/>
        <v>377</v>
      </c>
      <c r="H51">
        <f t="shared" si="12"/>
        <v>355</v>
      </c>
      <c r="I51">
        <f t="shared" si="13"/>
        <v>1752.5</v>
      </c>
    </row>
    <row r="52" spans="1:9" x14ac:dyDescent="0.45">
      <c r="A52">
        <v>1574</v>
      </c>
      <c r="B52">
        <f t="shared" si="15"/>
        <v>1913</v>
      </c>
      <c r="C52">
        <v>2705</v>
      </c>
      <c r="D52">
        <f t="shared" si="16"/>
        <v>2366</v>
      </c>
      <c r="E52">
        <f t="shared" si="14"/>
        <v>389</v>
      </c>
      <c r="F52">
        <f>B52-B51</f>
        <v>388</v>
      </c>
      <c r="G52">
        <f t="shared" si="12"/>
        <v>385</v>
      </c>
      <c r="H52">
        <f t="shared" si="12"/>
        <v>386</v>
      </c>
      <c r="I52">
        <f t="shared" si="13"/>
        <v>2139.5</v>
      </c>
    </row>
    <row r="53" spans="1:9" x14ac:dyDescent="0.45">
      <c r="A53">
        <v>2057</v>
      </c>
      <c r="B53">
        <f t="shared" si="15"/>
        <v>2359</v>
      </c>
      <c r="C53">
        <v>3064</v>
      </c>
      <c r="D53">
        <f t="shared" si="16"/>
        <v>2762</v>
      </c>
      <c r="E53">
        <f t="shared" si="14"/>
        <v>483</v>
      </c>
      <c r="F53">
        <f>B53-B52</f>
        <v>446</v>
      </c>
      <c r="G53">
        <f t="shared" si="12"/>
        <v>359</v>
      </c>
      <c r="H53">
        <f t="shared" si="12"/>
        <v>396</v>
      </c>
      <c r="I53">
        <f t="shared" si="13"/>
        <v>2560.5</v>
      </c>
    </row>
    <row r="54" spans="1:9" x14ac:dyDescent="0.45">
      <c r="A54">
        <v>2579</v>
      </c>
      <c r="B54">
        <f t="shared" si="15"/>
        <v>2828</v>
      </c>
      <c r="C54">
        <v>3409</v>
      </c>
      <c r="D54">
        <f t="shared" si="16"/>
        <v>3160</v>
      </c>
      <c r="E54">
        <f t="shared" si="14"/>
        <v>522</v>
      </c>
      <c r="F54">
        <f>B54-B53</f>
        <v>469</v>
      </c>
      <c r="G54">
        <f t="shared" si="12"/>
        <v>345</v>
      </c>
      <c r="H54">
        <f t="shared" si="12"/>
        <v>398</v>
      </c>
      <c r="I54">
        <f t="shared" si="13"/>
        <v>2994</v>
      </c>
    </row>
    <row r="55" spans="1:9" x14ac:dyDescent="0.45">
      <c r="A55">
        <v>3079</v>
      </c>
      <c r="B55">
        <f t="shared" si="15"/>
        <v>3276</v>
      </c>
      <c r="C55">
        <v>3737</v>
      </c>
      <c r="D55">
        <f t="shared" si="16"/>
        <v>3540</v>
      </c>
      <c r="E55">
        <f t="shared" si="14"/>
        <v>500</v>
      </c>
      <c r="F55">
        <f>B55-B54</f>
        <v>448</v>
      </c>
      <c r="G55">
        <f t="shared" si="12"/>
        <v>328</v>
      </c>
      <c r="H55">
        <f t="shared" si="12"/>
        <v>380</v>
      </c>
      <c r="I55">
        <f t="shared" si="13"/>
        <v>3408</v>
      </c>
    </row>
    <row r="56" spans="1:9" x14ac:dyDescent="0.45">
      <c r="A56">
        <v>3535</v>
      </c>
      <c r="B56">
        <f t="shared" ref="B56:B58" si="17">A56</f>
        <v>3535</v>
      </c>
      <c r="C56">
        <v>4025</v>
      </c>
      <c r="D56">
        <f t="shared" ref="D56:D58" si="18">C56</f>
        <v>4025</v>
      </c>
      <c r="E56">
        <f t="shared" si="14"/>
        <v>456</v>
      </c>
      <c r="F56">
        <f>B56-B55</f>
        <v>259</v>
      </c>
      <c r="G56">
        <f t="shared" si="12"/>
        <v>288</v>
      </c>
      <c r="H56">
        <f t="shared" si="12"/>
        <v>485</v>
      </c>
      <c r="I56">
        <f t="shared" si="13"/>
        <v>3780</v>
      </c>
    </row>
    <row r="57" spans="1:9" x14ac:dyDescent="0.45">
      <c r="A57">
        <v>3922</v>
      </c>
      <c r="B57">
        <f t="shared" si="17"/>
        <v>3922</v>
      </c>
      <c r="C57">
        <v>4247</v>
      </c>
      <c r="D57">
        <f t="shared" si="18"/>
        <v>4247</v>
      </c>
      <c r="E57">
        <f t="shared" si="14"/>
        <v>387</v>
      </c>
      <c r="F57">
        <f>B57-B56</f>
        <v>387</v>
      </c>
      <c r="G57">
        <f t="shared" si="12"/>
        <v>222</v>
      </c>
      <c r="H57">
        <f t="shared" si="12"/>
        <v>222</v>
      </c>
      <c r="I57">
        <f t="shared" si="13"/>
        <v>4084.5</v>
      </c>
    </row>
    <row r="58" spans="1:9" x14ac:dyDescent="0.45">
      <c r="A58">
        <v>4212</v>
      </c>
      <c r="B58">
        <f t="shared" si="17"/>
        <v>4212</v>
      </c>
      <c r="C58">
        <v>4374</v>
      </c>
      <c r="D58">
        <f t="shared" si="18"/>
        <v>4374</v>
      </c>
      <c r="E58">
        <f t="shared" si="14"/>
        <v>290</v>
      </c>
      <c r="F58">
        <f>B58-B57</f>
        <v>290</v>
      </c>
      <c r="G58">
        <f t="shared" si="12"/>
        <v>127</v>
      </c>
      <c r="H58">
        <f t="shared" si="12"/>
        <v>127</v>
      </c>
      <c r="I58">
        <f t="shared" si="13"/>
        <v>4293</v>
      </c>
    </row>
    <row r="59" spans="1:9" x14ac:dyDescent="0.45">
      <c r="A59">
        <v>4374</v>
      </c>
      <c r="B59">
        <f>A59</f>
        <v>4374</v>
      </c>
      <c r="C59">
        <v>4374</v>
      </c>
      <c r="D59">
        <f>C59</f>
        <v>4374</v>
      </c>
      <c r="E59">
        <f t="shared" si="14"/>
        <v>162</v>
      </c>
      <c r="F59">
        <f>B59-B58</f>
        <v>162</v>
      </c>
      <c r="G59">
        <f t="shared" ref="G59" si="19">C59-C58</f>
        <v>0</v>
      </c>
      <c r="H59">
        <f t="shared" ref="H59" si="20">D59-D58</f>
        <v>0</v>
      </c>
      <c r="I59">
        <f t="shared" si="13"/>
        <v>4374</v>
      </c>
    </row>
    <row r="62" spans="1:9" x14ac:dyDescent="0.45">
      <c r="A62">
        <v>0.4</v>
      </c>
    </row>
    <row r="63" spans="1:9" x14ac:dyDescent="0.45">
      <c r="A63" t="s">
        <v>10</v>
      </c>
    </row>
    <row r="64" spans="1:9" x14ac:dyDescent="0.45">
      <c r="A64">
        <v>0.25</v>
      </c>
    </row>
    <row r="65" spans="1:1" x14ac:dyDescent="0.45">
      <c r="A65">
        <v>0.33333332999999998</v>
      </c>
    </row>
  </sheetData>
  <mergeCells count="4">
    <mergeCell ref="E1:H1"/>
    <mergeCell ref="E10:H10"/>
    <mergeCell ref="E25:H25"/>
    <mergeCell ref="E40:H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ktoll</dc:creator>
  <cp:lastModifiedBy>ktoll</cp:lastModifiedBy>
  <dcterms:created xsi:type="dcterms:W3CDTF">2024-10-10T21:52:18Z</dcterms:created>
  <dcterms:modified xsi:type="dcterms:W3CDTF">2024-12-08T23:43:45Z</dcterms:modified>
</cp:coreProperties>
</file>